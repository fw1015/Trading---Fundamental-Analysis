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ounder/PycharmProjects/Fundamental_Analysis/"/>
    </mc:Choice>
  </mc:AlternateContent>
  <xr:revisionPtr revIDLastSave="0" documentId="13_ncr:1_{66D4B70E-D986-244D-BFF1-9014450C2029}" xr6:coauthVersionLast="47" xr6:coauthVersionMax="47" xr10:uidLastSave="{00000000-0000-0000-0000-000000000000}"/>
  <bookViews>
    <workbookView xWindow="0" yWindow="500" windowWidth="28800" windowHeight="16120" activeTab="2" xr2:uid="{1EAA357D-EA58-C445-A26D-457DACCCD1D4}"/>
  </bookViews>
  <sheets>
    <sheet name="S&amp;P 500" sheetId="1" r:id="rId1"/>
    <sheet name="10 Year US Treasury Note Yield" sheetId="3" r:id="rId2"/>
    <sheet name="Market Factors" sheetId="4" r:id="rId3"/>
    <sheet name="Sourc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7" i="1"/>
  <c r="E5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</calcChain>
</file>

<file path=xl/sharedStrings.xml><?xml version="1.0" encoding="utf-8"?>
<sst xmlns="http://schemas.openxmlformats.org/spreadsheetml/2006/main" count="102" uniqueCount="63">
  <si>
    <t>S&amp;P 500</t>
  </si>
  <si>
    <t>Date</t>
  </si>
  <si>
    <t>Dec 31, 2021</t>
  </si>
  <si>
    <t>Dec 31, 2020</t>
  </si>
  <si>
    <t>Dec 31, 2019</t>
  </si>
  <si>
    <t>Dec 31, 2018</t>
  </si>
  <si>
    <t>Dec 31, 2017</t>
  </si>
  <si>
    <t>Dec 31, 2016</t>
  </si>
  <si>
    <t>Dec 31, 2015</t>
  </si>
  <si>
    <t>Dec 31, 2014</t>
  </si>
  <si>
    <t>Dec 31, 2013</t>
  </si>
  <si>
    <t>Dec 31, 2012</t>
  </si>
  <si>
    <t>Dec 31, 2011</t>
  </si>
  <si>
    <t>Dec 31, 2010</t>
  </si>
  <si>
    <t>Dec 31, 2009</t>
  </si>
  <si>
    <t>Dec 31, 2008</t>
  </si>
  <si>
    <t>Dec 31, 2007</t>
  </si>
  <si>
    <t>Dec 31, 2006</t>
  </si>
  <si>
    <t>Dec 31, 2005</t>
  </si>
  <si>
    <t>Dec 31, 2004</t>
  </si>
  <si>
    <t>Dec 31, 2003</t>
  </si>
  <si>
    <t>Dec 31, 2002</t>
  </si>
  <si>
    <t>Dec 31, 2001</t>
  </si>
  <si>
    <t>Dec 31, 2000</t>
  </si>
  <si>
    <t>Dec 31, 1999</t>
  </si>
  <si>
    <t>Dec 31, 1998</t>
  </si>
  <si>
    <t>Dec 31, 1997</t>
  </si>
  <si>
    <t>Dec 31, 1996</t>
  </si>
  <si>
    <t>Dec 31, 1995</t>
  </si>
  <si>
    <t>Dec 31, 1994</t>
  </si>
  <si>
    <t>Dec 31, 1993</t>
  </si>
  <si>
    <t>Dec 31, 1992</t>
  </si>
  <si>
    <t>Dec 31, 1991</t>
  </si>
  <si>
    <t>Dec 31, 1990</t>
  </si>
  <si>
    <t>Dec 31, 1989</t>
  </si>
  <si>
    <t>Dec 31, 1988</t>
  </si>
  <si>
    <t>Dec 31, 1987</t>
  </si>
  <si>
    <t>Dec 31, 1986</t>
  </si>
  <si>
    <t>Dec 31, 1985</t>
  </si>
  <si>
    <t>EPS</t>
  </si>
  <si>
    <t>Earnings Yield</t>
  </si>
  <si>
    <t>Dividend Yield</t>
  </si>
  <si>
    <t>DPS</t>
  </si>
  <si>
    <t>Price</t>
  </si>
  <si>
    <t>10 Year US Treasury Note Yield</t>
  </si>
  <si>
    <t>Yield</t>
  </si>
  <si>
    <t>?</t>
  </si>
  <si>
    <t>Dividend Payout</t>
  </si>
  <si>
    <t>Return (S&amp;P 500)</t>
  </si>
  <si>
    <t>Dec 31, 1984</t>
  </si>
  <si>
    <t>Dec 31, 1983</t>
  </si>
  <si>
    <t>Dec 31, 1982</t>
  </si>
  <si>
    <t>Dec 31, 1981</t>
  </si>
  <si>
    <t>Dec 31, 1980</t>
  </si>
  <si>
    <t>Rf</t>
  </si>
  <si>
    <t>Rm-Rf</t>
  </si>
  <si>
    <t>Src:</t>
  </si>
  <si>
    <t>https://www.multpl.com/10-year-treasury-rate/table/by-year</t>
  </si>
  <si>
    <t>https://pages.stern.nyu.edu/~adamodar/New_Home_Page/datafile/spearn.htm</t>
  </si>
  <si>
    <t>http://mba.tuck.dartmouth.edu/pages/faculty/ken.french/data_library.html</t>
  </si>
  <si>
    <t>SMB</t>
  </si>
  <si>
    <t>HML</t>
  </si>
  <si>
    <t>CPI%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</si>
</sst>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_ ;_-@_ "/>
    <numFmt numFmtId="165" formatCode="yyyy\-mm\-dd"/>
    <numFmt numFmtId="166" formatCode="0.0000%"/>
    <numFmt numFmtId="167" formatCode="0.0000"/>
  </numFmts>
  <fonts count="1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9C0006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6"/>
      <color rgb="FF111111"/>
      <name val="Inheri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/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/>
      <bottom style="thin">
        <color rgb="FF4472C4"/>
      </bottom>
      <diagonal/>
    </border>
    <border>
      <left/>
      <right style="thin">
        <color rgb="FF4472C4"/>
      </right>
      <top/>
      <bottom style="thin">
        <color rgb="FF4472C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164" fontId="4" fillId="0" borderId="1" xfId="0" applyNumberFormat="1" applyFont="1" applyBorder="1"/>
    <xf numFmtId="165" fontId="3" fillId="2" borderId="0" xfId="0" applyNumberFormat="1" applyFont="1" applyFill="1"/>
    <xf numFmtId="0" fontId="3" fillId="2" borderId="0" xfId="0" applyFont="1" applyFill="1"/>
    <xf numFmtId="0" fontId="2" fillId="0" borderId="0" xfId="0" applyFont="1"/>
    <xf numFmtId="166" fontId="4" fillId="0" borderId="1" xfId="1" applyNumberFormat="1" applyFont="1" applyBorder="1"/>
    <xf numFmtId="167" fontId="4" fillId="0" borderId="1" xfId="1" applyNumberFormat="1" applyFont="1" applyBorder="1"/>
    <xf numFmtId="167" fontId="4" fillId="0" borderId="1" xfId="1" applyNumberFormat="1" applyFont="1" applyBorder="1" applyAlignment="1">
      <alignment horizontal="right"/>
    </xf>
    <xf numFmtId="167" fontId="0" fillId="2" borderId="0" xfId="0" applyNumberFormat="1" applyFill="1"/>
    <xf numFmtId="0" fontId="3" fillId="0" borderId="0" xfId="0" applyFont="1"/>
    <xf numFmtId="10" fontId="8" fillId="2" borderId="2" xfId="0" applyNumberFormat="1" applyFont="1" applyFill="1" applyBorder="1"/>
    <xf numFmtId="10" fontId="8" fillId="2" borderId="3" xfId="0" applyNumberFormat="1" applyFont="1" applyFill="1" applyBorder="1"/>
    <xf numFmtId="10" fontId="8" fillId="2" borderId="4" xfId="0" applyNumberFormat="1" applyFont="1" applyFill="1" applyBorder="1"/>
    <xf numFmtId="10" fontId="8" fillId="2" borderId="5" xfId="0" applyNumberFormat="1" applyFont="1" applyFill="1" applyBorder="1"/>
    <xf numFmtId="165" fontId="4" fillId="0" borderId="1" xfId="0" applyNumberFormat="1" applyFont="1" applyBorder="1"/>
    <xf numFmtId="10" fontId="6" fillId="2" borderId="5" xfId="0" applyNumberFormat="1" applyFont="1" applyFill="1" applyBorder="1"/>
    <xf numFmtId="10" fontId="9" fillId="0" borderId="0" xfId="0" applyNumberFormat="1" applyFont="1"/>
    <xf numFmtId="0" fontId="3" fillId="0" borderId="0" xfId="0" applyFont="1" applyBorder="1"/>
    <xf numFmtId="0" fontId="7" fillId="2" borderId="0" xfId="0" applyFont="1" applyFill="1" applyBorder="1"/>
  </cellXfs>
  <cellStyles count="2">
    <cellStyle name="Normal" xfId="0" builtinId="0"/>
    <cellStyle name="Per cent" xfId="1" builtinId="5"/>
  </cellStyles>
  <dxfs count="14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1098-E526-BA4B-A6A1-BFB1B332A29D}">
  <dimension ref="B2:I47"/>
  <sheetViews>
    <sheetView zoomScale="125" workbookViewId="0">
      <selection activeCell="I6" sqref="I6"/>
    </sheetView>
  </sheetViews>
  <sheetFormatPr baseColWidth="10" defaultRowHeight="16"/>
  <cols>
    <col min="1" max="3" width="10.83203125" style="1"/>
    <col min="4" max="4" width="6.5" style="1" bestFit="1" customWidth="1"/>
    <col min="5" max="5" width="6.5" style="1" customWidth="1"/>
    <col min="6" max="6" width="9" style="1" bestFit="1" customWidth="1"/>
    <col min="7" max="7" width="9.5" style="1" bestFit="1" customWidth="1"/>
    <col min="8" max="8" width="10.5" style="1" bestFit="1" customWidth="1"/>
    <col min="9" max="16384" width="10.83203125" style="1"/>
  </cols>
  <sheetData>
    <row r="2" spans="2:9">
      <c r="B2" s="5" t="s">
        <v>0</v>
      </c>
      <c r="C2" s="4"/>
    </row>
    <row r="4" spans="2:9">
      <c r="B4" s="3" t="s">
        <v>1</v>
      </c>
      <c r="C4" s="3" t="s">
        <v>43</v>
      </c>
      <c r="D4" s="4" t="s">
        <v>39</v>
      </c>
      <c r="E4" s="4" t="s">
        <v>42</v>
      </c>
      <c r="F4" s="4" t="s">
        <v>40</v>
      </c>
      <c r="G4" s="4" t="s">
        <v>41</v>
      </c>
      <c r="H4" s="4" t="s">
        <v>47</v>
      </c>
      <c r="I4" s="10" t="s">
        <v>48</v>
      </c>
    </row>
    <row r="5" spans="2:9">
      <c r="B5" s="2" t="s">
        <v>2</v>
      </c>
      <c r="C5" s="2">
        <v>4796.5600000000004</v>
      </c>
      <c r="D5" s="2" t="s">
        <v>46</v>
      </c>
      <c r="E5" s="2">
        <f>G5*C5</f>
        <v>61.875624000000002</v>
      </c>
      <c r="F5" s="7"/>
      <c r="G5" s="8">
        <v>1.29E-2</v>
      </c>
      <c r="H5" s="7"/>
      <c r="I5" s="6"/>
    </row>
    <row r="6" spans="2:9">
      <c r="B6" s="2" t="s">
        <v>3</v>
      </c>
      <c r="C6" s="2">
        <v>3793.75</v>
      </c>
      <c r="D6" s="2">
        <v>100.44</v>
      </c>
      <c r="E6" s="2">
        <f>G6*C6</f>
        <v>59.941250000000004</v>
      </c>
      <c r="F6" s="7">
        <v>2.7799999999999998E-2</v>
      </c>
      <c r="G6" s="7">
        <v>1.5800000000000002E-2</v>
      </c>
      <c r="H6" s="7">
        <v>0.59678663878932703</v>
      </c>
      <c r="I6" s="6">
        <v>0.17555098834726376</v>
      </c>
    </row>
    <row r="7" spans="2:9">
      <c r="B7" s="2" t="s">
        <v>4</v>
      </c>
      <c r="C7" s="2">
        <v>3278.2</v>
      </c>
      <c r="D7" s="2">
        <v>150.85</v>
      </c>
      <c r="E7" s="2">
        <f>G7*C7</f>
        <v>59.991059999999997</v>
      </c>
      <c r="F7" s="7">
        <v>4.02E-2</v>
      </c>
      <c r="G7" s="7">
        <v>1.83E-2</v>
      </c>
      <c r="H7" s="7">
        <v>0.3976868412330129</v>
      </c>
      <c r="I7" s="6">
        <v>0.28028068681708523</v>
      </c>
    </row>
    <row r="8" spans="2:9">
      <c r="B8" s="2" t="s">
        <v>5</v>
      </c>
      <c r="C8" s="2">
        <v>2607.39</v>
      </c>
      <c r="D8" s="2">
        <v>146.47</v>
      </c>
      <c r="E8" s="2">
        <f t="shared" ref="E8:E41" si="0">G8*C8</f>
        <v>54.494450999999991</v>
      </c>
      <c r="F8" s="7">
        <v>5.0999999999999997E-2</v>
      </c>
      <c r="G8" s="7">
        <v>2.0899999999999998E-2</v>
      </c>
      <c r="H8" s="7">
        <v>0.37205196285928854</v>
      </c>
      <c r="I8" s="6">
        <v>-4.5851153846153944E-2</v>
      </c>
    </row>
    <row r="9" spans="2:9">
      <c r="B9" s="2" t="s">
        <v>6</v>
      </c>
      <c r="C9" s="2">
        <v>2789.8</v>
      </c>
      <c r="D9" s="2">
        <v>123.89</v>
      </c>
      <c r="E9" s="2">
        <f t="shared" si="0"/>
        <v>51.332320000000003</v>
      </c>
      <c r="F9" s="7">
        <v>4.0099999999999997E-2</v>
      </c>
      <c r="G9" s="7">
        <v>1.84E-2</v>
      </c>
      <c r="H9" s="7">
        <v>0.41433788037775449</v>
      </c>
      <c r="I9" s="6">
        <v>0.24878350152958978</v>
      </c>
    </row>
    <row r="10" spans="2:9">
      <c r="B10" s="2" t="s">
        <v>7</v>
      </c>
      <c r="C10" s="2">
        <v>2275.12</v>
      </c>
      <c r="D10" s="2">
        <v>108.85</v>
      </c>
      <c r="E10" s="2">
        <f t="shared" si="0"/>
        <v>46.184935999999993</v>
      </c>
      <c r="F10" s="7">
        <v>4.24E-2</v>
      </c>
      <c r="G10" s="7">
        <v>2.0299999999999999E-2</v>
      </c>
      <c r="H10" s="7">
        <v>0.42429890675241155</v>
      </c>
      <c r="I10" s="6">
        <v>0.20989520275200674</v>
      </c>
    </row>
    <row r="11" spans="2:9">
      <c r="B11" s="2" t="s">
        <v>8</v>
      </c>
      <c r="C11" s="2">
        <v>1918.6</v>
      </c>
      <c r="D11" s="2">
        <v>101.68</v>
      </c>
      <c r="E11" s="2">
        <f t="shared" si="0"/>
        <v>40.482459999999996</v>
      </c>
      <c r="F11" s="7">
        <v>4.5100000000000001E-2</v>
      </c>
      <c r="G11" s="7">
        <v>2.1100000000000001E-2</v>
      </c>
      <c r="H11" s="7">
        <v>0.39813591660110143</v>
      </c>
      <c r="I11" s="6">
        <v>-3.4068741433206227E-2</v>
      </c>
    </row>
    <row r="12" spans="2:9">
      <c r="B12" s="2" t="s">
        <v>9</v>
      </c>
      <c r="C12" s="2">
        <v>2028.18</v>
      </c>
      <c r="D12" s="2">
        <v>121.1</v>
      </c>
      <c r="E12" s="2">
        <f t="shared" si="0"/>
        <v>38.941055999999996</v>
      </c>
      <c r="F12" s="7">
        <v>4.99E-2</v>
      </c>
      <c r="G12" s="7">
        <v>1.9199999999999998E-2</v>
      </c>
      <c r="H12" s="7">
        <v>0.32156115606936414</v>
      </c>
      <c r="I12" s="6">
        <v>0.13430993656577189</v>
      </c>
    </row>
    <row r="13" spans="2:9">
      <c r="B13" s="2" t="s">
        <v>10</v>
      </c>
      <c r="C13" s="2">
        <v>1822.36</v>
      </c>
      <c r="D13" s="2">
        <v>119.5</v>
      </c>
      <c r="E13" s="2">
        <f t="shared" si="0"/>
        <v>35.353783999999997</v>
      </c>
      <c r="F13" s="7">
        <v>5.5100000000000003E-2</v>
      </c>
      <c r="G13" s="7">
        <v>1.9400000000000001E-2</v>
      </c>
      <c r="H13" s="7">
        <v>0.29584756485355646</v>
      </c>
      <c r="I13" s="6">
        <v>0.2548728613888136</v>
      </c>
    </row>
    <row r="14" spans="2:9">
      <c r="B14" s="2" t="s">
        <v>11</v>
      </c>
      <c r="C14" s="2">
        <v>1480.4</v>
      </c>
      <c r="D14" s="2">
        <v>104.73</v>
      </c>
      <c r="E14" s="2">
        <f t="shared" si="0"/>
        <v>32.568800000000003</v>
      </c>
      <c r="F14" s="7">
        <v>5.8700000000000002E-2</v>
      </c>
      <c r="G14" s="7">
        <v>2.1999999999999999E-2</v>
      </c>
      <c r="H14" s="7">
        <v>0.31097870715172349</v>
      </c>
      <c r="I14" s="6">
        <v>0.16330314167525273</v>
      </c>
    </row>
    <row r="15" spans="2:9">
      <c r="B15" s="2" t="s">
        <v>12</v>
      </c>
      <c r="C15" s="2">
        <v>1300.58</v>
      </c>
      <c r="D15" s="2">
        <v>107.09</v>
      </c>
      <c r="E15" s="2">
        <f t="shared" si="0"/>
        <v>27.702353999999996</v>
      </c>
      <c r="F15" s="7">
        <v>6.7299999999999999E-2</v>
      </c>
      <c r="G15" s="7">
        <v>2.1299999999999999E-2</v>
      </c>
      <c r="H15" s="7">
        <v>0.25868292090764772</v>
      </c>
      <c r="I15" s="6">
        <v>3.5600843585785386E-2</v>
      </c>
    </row>
    <row r="16" spans="2:9">
      <c r="B16" s="2" t="s">
        <v>13</v>
      </c>
      <c r="C16" s="2">
        <v>1282.6199999999999</v>
      </c>
      <c r="D16" s="2">
        <v>98.09</v>
      </c>
      <c r="E16" s="2">
        <f t="shared" si="0"/>
        <v>23.471945999999999</v>
      </c>
      <c r="F16" s="7">
        <v>6.13E-2</v>
      </c>
      <c r="G16" s="7">
        <v>1.83E-2</v>
      </c>
      <c r="H16" s="7">
        <v>0.23928989703333672</v>
      </c>
      <c r="I16" s="6">
        <v>0.16243787358265532</v>
      </c>
    </row>
    <row r="17" spans="2:9">
      <c r="B17" s="2" t="s">
        <v>14</v>
      </c>
      <c r="C17" s="2">
        <v>1123.58</v>
      </c>
      <c r="D17" s="2">
        <v>65.599999999999994</v>
      </c>
      <c r="E17" s="2">
        <f t="shared" si="0"/>
        <v>22.696315999999996</v>
      </c>
      <c r="F17" s="7">
        <v>4.8300000000000003E-2</v>
      </c>
      <c r="G17" s="7">
        <v>2.0199999999999999E-2</v>
      </c>
      <c r="H17" s="7">
        <v>0.34598042682926827</v>
      </c>
      <c r="I17" s="6">
        <v>0.32428697058619643</v>
      </c>
    </row>
    <row r="18" spans="2:9">
      <c r="B18" s="2" t="s">
        <v>15</v>
      </c>
      <c r="C18" s="2">
        <v>865.58</v>
      </c>
      <c r="D18" s="2">
        <v>19.670000000000002</v>
      </c>
      <c r="E18" s="2">
        <f t="shared" si="0"/>
        <v>27.958234000000004</v>
      </c>
      <c r="F18" s="7">
        <v>1.41E-2</v>
      </c>
      <c r="G18" s="7">
        <v>3.2300000000000002E-2</v>
      </c>
      <c r="H18" s="7">
        <v>1.4213642094560246</v>
      </c>
      <c r="I18" s="6">
        <v>-0.35192619890336235</v>
      </c>
    </row>
    <row r="19" spans="2:9">
      <c r="B19" s="2" t="s">
        <v>16</v>
      </c>
      <c r="C19" s="2">
        <v>1378.76</v>
      </c>
      <c r="D19" s="2">
        <v>87.58</v>
      </c>
      <c r="E19" s="2">
        <f t="shared" si="0"/>
        <v>25.782812000000003</v>
      </c>
      <c r="F19" s="7">
        <v>4.6600000000000003E-2</v>
      </c>
      <c r="G19" s="7">
        <v>1.8700000000000001E-2</v>
      </c>
      <c r="H19" s="7">
        <v>0.2943915505823248</v>
      </c>
      <c r="I19" s="6">
        <v>-1.3774567464329968E-2</v>
      </c>
    </row>
    <row r="20" spans="2:9">
      <c r="B20" s="2" t="s">
        <v>17</v>
      </c>
      <c r="C20" s="2">
        <v>1424.16</v>
      </c>
      <c r="D20" s="2">
        <v>112.27</v>
      </c>
      <c r="E20" s="2">
        <f t="shared" si="0"/>
        <v>25.065216000000003</v>
      </c>
      <c r="F20" s="7">
        <v>5.7599999999999998E-2</v>
      </c>
      <c r="G20" s="7">
        <v>1.7600000000000001E-2</v>
      </c>
      <c r="H20" s="7">
        <v>0.22325835931237201</v>
      </c>
      <c r="I20" s="6">
        <v>0.13333167752379316</v>
      </c>
    </row>
    <row r="21" spans="2:9">
      <c r="B21" s="2" t="s">
        <v>18</v>
      </c>
      <c r="C21" s="2">
        <v>1278.73</v>
      </c>
      <c r="D21" s="2">
        <v>98.62</v>
      </c>
      <c r="E21" s="2">
        <f t="shared" si="0"/>
        <v>22.505648000000001</v>
      </c>
      <c r="F21" s="7">
        <v>5.5300000000000002E-2</v>
      </c>
      <c r="G21" s="7">
        <v>1.7600000000000001E-2</v>
      </c>
      <c r="H21" s="7">
        <v>0.22820571892111133</v>
      </c>
      <c r="I21" s="6">
        <v>0.10142596389060529</v>
      </c>
    </row>
    <row r="22" spans="2:9">
      <c r="B22" s="2" t="s">
        <v>19</v>
      </c>
      <c r="C22" s="2">
        <v>1181.4100000000001</v>
      </c>
      <c r="D22" s="2">
        <v>85.52</v>
      </c>
      <c r="E22" s="2">
        <f t="shared" si="0"/>
        <v>19.138842</v>
      </c>
      <c r="F22" s="7">
        <v>0.05</v>
      </c>
      <c r="G22" s="7">
        <v>1.6199999999999999E-2</v>
      </c>
      <c r="H22" s="7">
        <v>0.22379375584658562</v>
      </c>
      <c r="I22" s="6">
        <v>6.0068556846678355E-2</v>
      </c>
    </row>
    <row r="23" spans="2:9">
      <c r="B23" s="2" t="s">
        <v>20</v>
      </c>
      <c r="C23" s="2">
        <v>1132.52</v>
      </c>
      <c r="D23" s="2">
        <v>73.510000000000005</v>
      </c>
      <c r="E23" s="2">
        <f t="shared" si="0"/>
        <v>18.233571999999999</v>
      </c>
      <c r="F23" s="7">
        <v>4.3999999999999997E-2</v>
      </c>
      <c r="G23" s="7">
        <v>1.61E-2</v>
      </c>
      <c r="H23" s="7">
        <v>0.24804206230444834</v>
      </c>
      <c r="I23" s="6">
        <v>0.28455256742275409</v>
      </c>
    </row>
    <row r="24" spans="2:9">
      <c r="B24" s="2" t="s">
        <v>21</v>
      </c>
      <c r="C24" s="2">
        <v>895.84</v>
      </c>
      <c r="D24" s="2">
        <v>42.39</v>
      </c>
      <c r="E24" s="2">
        <f t="shared" si="0"/>
        <v>16.035536</v>
      </c>
      <c r="F24" s="7">
        <v>3.1800000000000002E-2</v>
      </c>
      <c r="G24" s="7">
        <v>1.7899999999999999E-2</v>
      </c>
      <c r="H24" s="7">
        <v>0.37828582212786033</v>
      </c>
      <c r="I24" s="6">
        <v>-0.20025650011839927</v>
      </c>
    </row>
    <row r="25" spans="2:9">
      <c r="B25" s="2" t="s">
        <v>22</v>
      </c>
      <c r="C25" s="2">
        <v>1140.21</v>
      </c>
      <c r="D25" s="2">
        <v>38.840000000000003</v>
      </c>
      <c r="E25" s="2">
        <f t="shared" si="0"/>
        <v>15.620877</v>
      </c>
      <c r="F25" s="7">
        <v>2.1700000000000001E-2</v>
      </c>
      <c r="G25" s="7">
        <v>1.37E-2</v>
      </c>
      <c r="H25" s="7">
        <v>0.40218529866117403</v>
      </c>
      <c r="I25" s="6">
        <v>-0.13461746366883043</v>
      </c>
    </row>
    <row r="26" spans="2:9">
      <c r="B26" s="2" t="s">
        <v>23</v>
      </c>
      <c r="C26" s="2">
        <v>1335.63</v>
      </c>
      <c r="D26" s="2">
        <v>79.87</v>
      </c>
      <c r="E26" s="2">
        <f t="shared" si="0"/>
        <v>16.294686000000002</v>
      </c>
      <c r="F26" s="7">
        <v>3.6299999999999999E-2</v>
      </c>
      <c r="G26" s="7">
        <v>1.2200000000000001E-2</v>
      </c>
      <c r="H26" s="7">
        <v>0.20401509953674724</v>
      </c>
      <c r="I26" s="6">
        <v>-5.1673562524989551E-2</v>
      </c>
    </row>
    <row r="27" spans="2:9">
      <c r="B27" s="2" t="s">
        <v>24</v>
      </c>
      <c r="C27" s="2">
        <v>1425.59</v>
      </c>
      <c r="D27" s="2">
        <v>79.55</v>
      </c>
      <c r="E27" s="2">
        <f t="shared" si="0"/>
        <v>16.679403000000001</v>
      </c>
      <c r="F27" s="7">
        <v>3.44E-2</v>
      </c>
      <c r="G27" s="7">
        <v>1.17E-2</v>
      </c>
      <c r="H27" s="7">
        <v>0.20967194217473289</v>
      </c>
      <c r="I27" s="6">
        <v>0.15495199516324065</v>
      </c>
    </row>
    <row r="28" spans="2:9">
      <c r="B28" s="2" t="s">
        <v>25</v>
      </c>
      <c r="C28" s="2">
        <v>1248.77</v>
      </c>
      <c r="D28" s="2">
        <v>63.95</v>
      </c>
      <c r="E28" s="2">
        <f t="shared" si="0"/>
        <v>16.983271999999999</v>
      </c>
      <c r="F28" s="7">
        <v>3.04E-2</v>
      </c>
      <c r="G28" s="7">
        <v>1.3599999999999999E-2</v>
      </c>
      <c r="H28" s="7">
        <v>0.26557110242376852</v>
      </c>
      <c r="I28" s="6">
        <v>0.31389436140176041</v>
      </c>
    </row>
    <row r="29" spans="2:9">
      <c r="B29" s="2" t="s">
        <v>26</v>
      </c>
      <c r="C29" s="2">
        <v>963.36</v>
      </c>
      <c r="D29" s="2">
        <v>68.44</v>
      </c>
      <c r="E29" s="2">
        <f t="shared" si="0"/>
        <v>15.510096000000001</v>
      </c>
      <c r="F29" s="7">
        <v>4.1200000000000001E-2</v>
      </c>
      <c r="G29" s="7">
        <v>1.61E-2</v>
      </c>
      <c r="H29" s="7">
        <v>0.2266232612507306</v>
      </c>
      <c r="I29" s="6">
        <v>0.27753138263162008</v>
      </c>
    </row>
    <row r="30" spans="2:9">
      <c r="B30" s="2" t="s">
        <v>27</v>
      </c>
      <c r="C30" s="2">
        <v>766.22</v>
      </c>
      <c r="D30" s="2">
        <v>67.87</v>
      </c>
      <c r="E30" s="2">
        <f t="shared" si="0"/>
        <v>15.324400000000001</v>
      </c>
      <c r="F30" s="7">
        <v>5.1200000000000002E-2</v>
      </c>
      <c r="G30" s="7">
        <v>0.02</v>
      </c>
      <c r="H30" s="7">
        <v>0.22579048180344777</v>
      </c>
      <c r="I30" s="6">
        <v>0.2720035155105629</v>
      </c>
    </row>
    <row r="31" spans="2:9">
      <c r="B31" s="2" t="s">
        <v>28</v>
      </c>
      <c r="C31" s="2">
        <v>614.41999999999996</v>
      </c>
      <c r="D31" s="2">
        <v>61.49</v>
      </c>
      <c r="E31" s="2">
        <f t="shared" si="0"/>
        <v>13.763007999999999</v>
      </c>
      <c r="F31" s="7">
        <v>5.5300000000000002E-2</v>
      </c>
      <c r="G31" s="7">
        <v>2.24E-2</v>
      </c>
      <c r="H31" s="7">
        <v>0.22382514229956088</v>
      </c>
      <c r="I31" s="6">
        <v>0.3502052831810854</v>
      </c>
    </row>
    <row r="32" spans="2:9">
      <c r="B32" s="2" t="s">
        <v>29</v>
      </c>
      <c r="C32" s="2">
        <v>465.25</v>
      </c>
      <c r="D32" s="2">
        <v>56.82</v>
      </c>
      <c r="E32" s="2">
        <f t="shared" si="0"/>
        <v>13.445724999999999</v>
      </c>
      <c r="F32" s="7">
        <v>6.7199999999999996E-2</v>
      </c>
      <c r="G32" s="7">
        <v>2.8899999999999999E-2</v>
      </c>
      <c r="H32" s="7">
        <v>0.23663718760999647</v>
      </c>
      <c r="I32" s="6">
        <v>1.2063098585593717E-2</v>
      </c>
    </row>
    <row r="33" spans="2:9">
      <c r="B33" s="2" t="s">
        <v>30</v>
      </c>
      <c r="C33" s="2">
        <v>472.99</v>
      </c>
      <c r="D33" s="2">
        <v>41.73</v>
      </c>
      <c r="E33" s="2">
        <f t="shared" si="0"/>
        <v>12.77073</v>
      </c>
      <c r="F33" s="7">
        <v>4.6899999999999997E-2</v>
      </c>
      <c r="G33" s="7">
        <v>2.7E-2</v>
      </c>
      <c r="H33" s="7">
        <v>0.3060323508267434</v>
      </c>
      <c r="I33" s="6">
        <v>0.1161012108540312</v>
      </c>
    </row>
    <row r="34" spans="2:9">
      <c r="B34" s="2" t="s">
        <v>31</v>
      </c>
      <c r="C34" s="2">
        <v>435.23</v>
      </c>
      <c r="D34" s="2">
        <v>37.39</v>
      </c>
      <c r="E34" s="2">
        <f t="shared" si="0"/>
        <v>12.360532000000001</v>
      </c>
      <c r="F34" s="7">
        <v>4.4400000000000002E-2</v>
      </c>
      <c r="G34" s="7">
        <v>2.8400000000000002E-2</v>
      </c>
      <c r="H34" s="7">
        <v>0.33058389943835254</v>
      </c>
      <c r="I34" s="6">
        <v>7.5731907325514353E-2</v>
      </c>
    </row>
    <row r="35" spans="2:9">
      <c r="B35" s="2" t="s">
        <v>32</v>
      </c>
      <c r="C35" s="2">
        <v>416.08</v>
      </c>
      <c r="D35" s="2">
        <v>32.19</v>
      </c>
      <c r="E35" s="2">
        <f t="shared" si="0"/>
        <v>13.064911999999998</v>
      </c>
      <c r="F35" s="7">
        <v>3.8600000000000002E-2</v>
      </c>
      <c r="G35" s="7">
        <v>3.1399999999999997E-2</v>
      </c>
      <c r="H35" s="7">
        <v>0.40586865486175827</v>
      </c>
      <c r="I35" s="6">
        <v>0.31845805401087579</v>
      </c>
    </row>
    <row r="36" spans="2:9">
      <c r="B36" s="2" t="s">
        <v>33</v>
      </c>
      <c r="C36" s="2">
        <v>325.49</v>
      </c>
      <c r="D36" s="2">
        <v>44.33</v>
      </c>
      <c r="E36" s="2">
        <f t="shared" si="0"/>
        <v>11.978032000000001</v>
      </c>
      <c r="F36" s="7">
        <v>6.5199999999999994E-2</v>
      </c>
      <c r="G36" s="7">
        <v>3.6799999999999999E-2</v>
      </c>
      <c r="H36" s="7">
        <v>0.27020148883374695</v>
      </c>
      <c r="I36" s="6">
        <v>-7.3593787687149846E-3</v>
      </c>
    </row>
    <row r="37" spans="2:9">
      <c r="B37" s="2" t="s">
        <v>34</v>
      </c>
      <c r="C37" s="2">
        <v>339.97</v>
      </c>
      <c r="D37" s="2">
        <v>50.41</v>
      </c>
      <c r="E37" s="2">
        <f t="shared" si="0"/>
        <v>10.777049</v>
      </c>
      <c r="F37" s="7">
        <v>6.6100000000000006E-2</v>
      </c>
      <c r="G37" s="7">
        <v>3.1699999999999999E-2</v>
      </c>
      <c r="H37" s="7">
        <v>0.21378791906367786</v>
      </c>
      <c r="I37" s="6">
        <v>0.22896653468815709</v>
      </c>
    </row>
    <row r="38" spans="2:9">
      <c r="B38" s="2" t="s">
        <v>35</v>
      </c>
      <c r="C38" s="2">
        <v>285.39999999999998</v>
      </c>
      <c r="D38" s="2">
        <v>54.78</v>
      </c>
      <c r="E38" s="2">
        <f t="shared" si="0"/>
        <v>10.074619999999999</v>
      </c>
      <c r="F38" s="7">
        <v>8.4599999999999995E-2</v>
      </c>
      <c r="G38" s="7">
        <v>3.5299999999999998E-2</v>
      </c>
      <c r="H38" s="7">
        <v>0.18391055129609346</v>
      </c>
      <c r="I38" s="6">
        <v>0.17953940119760461</v>
      </c>
    </row>
    <row r="39" spans="2:9">
      <c r="B39" s="2" t="s">
        <v>36</v>
      </c>
      <c r="C39" s="2">
        <v>250.5</v>
      </c>
      <c r="D39" s="2">
        <v>42.15</v>
      </c>
      <c r="E39" s="2">
        <f t="shared" si="0"/>
        <v>9.1683000000000003</v>
      </c>
      <c r="F39" s="7">
        <v>7.1300000000000002E-2</v>
      </c>
      <c r="G39" s="7">
        <v>3.6600000000000001E-2</v>
      </c>
      <c r="H39" s="7">
        <v>0.21751601423487546</v>
      </c>
      <c r="I39" s="6">
        <v>-1.8267296786389459E-2</v>
      </c>
    </row>
    <row r="40" spans="2:9">
      <c r="B40" s="2" t="s">
        <v>37</v>
      </c>
      <c r="C40" s="2">
        <v>264.5</v>
      </c>
      <c r="D40" s="2">
        <v>36.42</v>
      </c>
      <c r="E40" s="2">
        <f t="shared" si="0"/>
        <v>8.8078500000000002</v>
      </c>
      <c r="F40" s="7">
        <v>5.5500000000000001E-2</v>
      </c>
      <c r="G40" s="7">
        <v>3.3300000000000003E-2</v>
      </c>
      <c r="H40" s="7">
        <v>0.24184102141680394</v>
      </c>
      <c r="I40" s="6">
        <v>0.31271781940441878</v>
      </c>
    </row>
    <row r="41" spans="2:9">
      <c r="B41" s="2" t="s">
        <v>38</v>
      </c>
      <c r="C41" s="2">
        <v>208.2</v>
      </c>
      <c r="D41" s="2">
        <v>37.15</v>
      </c>
      <c r="E41" s="2">
        <f t="shared" si="0"/>
        <v>7.9324199999999996</v>
      </c>
      <c r="F41" s="7">
        <v>7.0000000000000007E-2</v>
      </c>
      <c r="G41" s="7">
        <v>3.8100000000000002E-2</v>
      </c>
      <c r="H41" s="7">
        <v>0.21352409152086138</v>
      </c>
      <c r="I41" s="6">
        <v>0.2595129370629371</v>
      </c>
    </row>
    <row r="42" spans="2:9">
      <c r="B42" s="2" t="s">
        <v>49</v>
      </c>
      <c r="C42" s="2">
        <v>171.6</v>
      </c>
      <c r="D42" s="2"/>
      <c r="E42" s="2">
        <v>7.83</v>
      </c>
      <c r="F42" s="7">
        <v>9.6500000000000002E-2</v>
      </c>
      <c r="G42" s="7"/>
      <c r="H42" s="7"/>
      <c r="I42" s="6">
        <v>7.8305288461538461E-2</v>
      </c>
    </row>
    <row r="43" spans="2:9">
      <c r="B43" s="2" t="s">
        <v>50</v>
      </c>
      <c r="C43" s="2">
        <v>166.4</v>
      </c>
      <c r="D43" s="2"/>
      <c r="E43" s="2">
        <v>7.12</v>
      </c>
      <c r="F43" s="7">
        <v>8.6800000000000002E-2</v>
      </c>
      <c r="G43" s="7"/>
      <c r="H43" s="7"/>
      <c r="I43" s="6">
        <v>0.20249480249480248</v>
      </c>
    </row>
    <row r="44" spans="2:9">
      <c r="B44" s="2" t="s">
        <v>51</v>
      </c>
      <c r="C44" s="2">
        <v>144.30000000000001</v>
      </c>
      <c r="D44" s="2"/>
      <c r="E44" s="2">
        <v>6.93</v>
      </c>
      <c r="F44" s="7">
        <v>8.7099999999999997E-2</v>
      </c>
      <c r="G44" s="7"/>
      <c r="H44" s="7"/>
      <c r="I44" s="6">
        <v>0.28925831202046054</v>
      </c>
    </row>
    <row r="45" spans="2:9">
      <c r="B45" s="2" t="s">
        <v>52</v>
      </c>
      <c r="C45" s="2">
        <v>117.3</v>
      </c>
      <c r="D45" s="2"/>
      <c r="E45" s="2">
        <v>6.83</v>
      </c>
      <c r="F45" s="7">
        <v>0.12939999999999999</v>
      </c>
      <c r="G45" s="7"/>
      <c r="H45" s="7"/>
      <c r="I45" s="6">
        <v>-6.6691729323308302E-2</v>
      </c>
    </row>
    <row r="46" spans="2:9">
      <c r="B46" s="2" t="s">
        <v>53</v>
      </c>
      <c r="C46" s="2">
        <v>133</v>
      </c>
      <c r="D46" s="2"/>
      <c r="E46" s="2">
        <v>6.44</v>
      </c>
      <c r="F46" s="7">
        <v>0.1108</v>
      </c>
      <c r="G46" s="7"/>
      <c r="H46" s="7"/>
      <c r="I46" s="6"/>
    </row>
    <row r="47" spans="2:9" ht="21">
      <c r="F47" s="17"/>
    </row>
  </sheetData>
  <phoneticPr fontId="5" type="noConversion"/>
  <conditionalFormatting sqref="E5 B6:B46 D42:D46 G6:G46 D6:E41">
    <cfRule type="cellIs" dxfId="13" priority="20" operator="lessThan">
      <formula>0</formula>
    </cfRule>
  </conditionalFormatting>
  <conditionalFormatting sqref="B5">
    <cfRule type="cellIs" dxfId="12" priority="19" operator="lessThan">
      <formula>0</formula>
    </cfRule>
  </conditionalFormatting>
  <conditionalFormatting sqref="F5">
    <cfRule type="cellIs" dxfId="11" priority="18" operator="lessThan">
      <formula>0</formula>
    </cfRule>
  </conditionalFormatting>
  <conditionalFormatting sqref="G5">
    <cfRule type="cellIs" dxfId="10" priority="17" operator="lessThan">
      <formula>0</formula>
    </cfRule>
  </conditionalFormatting>
  <conditionalFormatting sqref="D5">
    <cfRule type="cellIs" dxfId="9" priority="16" operator="lessThan">
      <formula>0</formula>
    </cfRule>
  </conditionalFormatting>
  <conditionalFormatting sqref="H5:H46">
    <cfRule type="cellIs" dxfId="8" priority="13" operator="lessThan">
      <formula>0</formula>
    </cfRule>
  </conditionalFormatting>
  <conditionalFormatting sqref="E42:E46">
    <cfRule type="cellIs" dxfId="7" priority="10" operator="lessThan">
      <formula>0</formula>
    </cfRule>
  </conditionalFormatting>
  <conditionalFormatting sqref="I5:I46">
    <cfRule type="cellIs" dxfId="6" priority="5" operator="lessThan">
      <formula>0</formula>
    </cfRule>
  </conditionalFormatting>
  <conditionalFormatting sqref="F6:F46">
    <cfRule type="cellIs" dxfId="5" priority="4" operator="lessThan">
      <formula>0</formula>
    </cfRule>
  </conditionalFormatting>
  <conditionalFormatting sqref="C5:C46">
    <cfRule type="cellIs" dxfId="4" priority="3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9A8AA-93F0-AE42-BF91-051415AC712C}">
  <dimension ref="B2:C42"/>
  <sheetViews>
    <sheetView zoomScale="132" workbookViewId="0">
      <selection activeCell="F10" sqref="F10"/>
    </sheetView>
  </sheetViews>
  <sheetFormatPr baseColWidth="10" defaultRowHeight="16"/>
  <cols>
    <col min="1" max="2" width="10.83203125" style="1"/>
    <col min="3" max="3" width="6.83203125" style="1" bestFit="1" customWidth="1"/>
    <col min="4" max="16384" width="10.83203125" style="1"/>
  </cols>
  <sheetData>
    <row r="2" spans="2:3">
      <c r="B2" s="5" t="s">
        <v>44</v>
      </c>
    </row>
    <row r="4" spans="2:3">
      <c r="B4" s="3" t="s">
        <v>1</v>
      </c>
      <c r="C4" s="3" t="s">
        <v>45</v>
      </c>
    </row>
    <row r="5" spans="2:3">
      <c r="B5" s="6" t="s">
        <v>2</v>
      </c>
      <c r="C5" s="7">
        <v>1.72E-2</v>
      </c>
    </row>
    <row r="6" spans="2:3">
      <c r="B6" s="2" t="s">
        <v>3</v>
      </c>
      <c r="C6" s="7">
        <v>1.0800000000000001E-2</v>
      </c>
    </row>
    <row r="7" spans="2:3">
      <c r="B7" s="2" t="s">
        <v>4</v>
      </c>
      <c r="C7" s="7">
        <v>1.7600000000000001E-2</v>
      </c>
    </row>
    <row r="8" spans="2:3">
      <c r="B8" s="2" t="s">
        <v>5</v>
      </c>
      <c r="C8" s="7">
        <v>2.7099999999999999E-2</v>
      </c>
    </row>
    <row r="9" spans="2:3">
      <c r="B9" s="2" t="s">
        <v>6</v>
      </c>
      <c r="C9" s="7">
        <v>2.58E-2</v>
      </c>
    </row>
    <row r="10" spans="2:3">
      <c r="B10" s="2" t="s">
        <v>7</v>
      </c>
      <c r="C10" s="7">
        <v>2.4299999999999999E-2</v>
      </c>
    </row>
    <row r="11" spans="2:3">
      <c r="B11" s="2" t="s">
        <v>8</v>
      </c>
      <c r="C11" s="7">
        <v>2.0899999999999998E-2</v>
      </c>
    </row>
    <row r="12" spans="2:3">
      <c r="B12" s="2" t="s">
        <v>9</v>
      </c>
      <c r="C12" s="7">
        <v>1.8800000000000001E-2</v>
      </c>
    </row>
    <row r="13" spans="2:3">
      <c r="B13" s="2" t="s">
        <v>10</v>
      </c>
      <c r="C13" s="7">
        <v>2.86E-2</v>
      </c>
    </row>
    <row r="14" spans="2:3">
      <c r="B14" s="2" t="s">
        <v>11</v>
      </c>
      <c r="C14" s="7">
        <v>1.9099999999999999E-2</v>
      </c>
    </row>
    <row r="15" spans="2:3">
      <c r="B15" s="2" t="s">
        <v>12</v>
      </c>
      <c r="C15" s="7">
        <v>1.9699999999999999E-2</v>
      </c>
    </row>
    <row r="16" spans="2:3">
      <c r="B16" s="2" t="s">
        <v>13</v>
      </c>
      <c r="C16" s="7">
        <v>3.39E-2</v>
      </c>
    </row>
    <row r="17" spans="2:3">
      <c r="B17" s="2" t="s">
        <v>14</v>
      </c>
      <c r="C17" s="7">
        <v>3.73E-2</v>
      </c>
    </row>
    <row r="18" spans="2:3">
      <c r="B18" s="2" t="s">
        <v>15</v>
      </c>
      <c r="C18" s="7">
        <v>2.52E-2</v>
      </c>
    </row>
    <row r="19" spans="2:3">
      <c r="B19" s="2" t="s">
        <v>16</v>
      </c>
      <c r="C19" s="7">
        <v>3.7400000000000003E-2</v>
      </c>
    </row>
    <row r="20" spans="2:3">
      <c r="B20" s="2" t="s">
        <v>17</v>
      </c>
      <c r="C20" s="7">
        <v>4.7600000000000003E-2</v>
      </c>
    </row>
    <row r="21" spans="2:3">
      <c r="B21" s="2" t="s">
        <v>18</v>
      </c>
      <c r="C21" s="7">
        <v>4.4200000000000003E-2</v>
      </c>
    </row>
    <row r="22" spans="2:3">
      <c r="B22" s="2" t="s">
        <v>19</v>
      </c>
      <c r="C22" s="7">
        <v>4.2200000000000001E-2</v>
      </c>
    </row>
    <row r="23" spans="2:3">
      <c r="B23" s="2" t="s">
        <v>20</v>
      </c>
      <c r="C23" s="7">
        <v>4.1500000000000002E-2</v>
      </c>
    </row>
    <row r="24" spans="2:3">
      <c r="B24" s="2" t="s">
        <v>21</v>
      </c>
      <c r="C24" s="7">
        <v>4.0500000000000001E-2</v>
      </c>
    </row>
    <row r="25" spans="2:3">
      <c r="B25" s="2" t="s">
        <v>22</v>
      </c>
      <c r="C25" s="7">
        <v>5.04E-2</v>
      </c>
    </row>
    <row r="26" spans="2:3">
      <c r="B26" s="2" t="s">
        <v>23</v>
      </c>
      <c r="C26" s="7">
        <v>5.16E-2</v>
      </c>
    </row>
    <row r="27" spans="2:3">
      <c r="B27" s="2" t="s">
        <v>24</v>
      </c>
      <c r="C27" s="7">
        <v>6.6600000000000006E-2</v>
      </c>
    </row>
    <row r="28" spans="2:3">
      <c r="B28" s="2" t="s">
        <v>25</v>
      </c>
      <c r="C28" s="7">
        <v>4.7199999999999999E-2</v>
      </c>
    </row>
    <row r="29" spans="2:3">
      <c r="B29" s="2" t="s">
        <v>26</v>
      </c>
      <c r="C29" s="7">
        <v>5.5399999999999998E-2</v>
      </c>
    </row>
    <row r="30" spans="2:3">
      <c r="B30" s="2" t="s">
        <v>27</v>
      </c>
      <c r="C30" s="7">
        <v>6.5799999999999997E-2</v>
      </c>
    </row>
    <row r="31" spans="2:3">
      <c r="B31" s="2" t="s">
        <v>28</v>
      </c>
      <c r="C31" s="7">
        <v>5.6500000000000002E-2</v>
      </c>
    </row>
    <row r="32" spans="2:3">
      <c r="B32" s="2" t="s">
        <v>29</v>
      </c>
      <c r="C32" s="7">
        <v>7.7799999999999994E-2</v>
      </c>
    </row>
    <row r="33" spans="2:3">
      <c r="B33" s="2" t="s">
        <v>30</v>
      </c>
      <c r="C33" s="7">
        <v>5.7500000000000002E-2</v>
      </c>
    </row>
    <row r="34" spans="2:3">
      <c r="B34" s="2" t="s">
        <v>31</v>
      </c>
      <c r="C34" s="7">
        <v>6.6000000000000003E-2</v>
      </c>
    </row>
    <row r="35" spans="2:3">
      <c r="B35" s="2" t="s">
        <v>32</v>
      </c>
      <c r="C35" s="7">
        <v>7.0300000000000001E-2</v>
      </c>
    </row>
    <row r="36" spans="2:3">
      <c r="B36" s="2" t="s">
        <v>33</v>
      </c>
      <c r="C36" s="7">
        <v>8.09E-2</v>
      </c>
    </row>
    <row r="37" spans="2:3">
      <c r="B37" s="2" t="s">
        <v>34</v>
      </c>
      <c r="C37" s="7">
        <v>8.2100000000000006E-2</v>
      </c>
    </row>
    <row r="38" spans="2:3">
      <c r="B38" s="2" t="s">
        <v>35</v>
      </c>
      <c r="C38" s="7">
        <v>9.0899999999999995E-2</v>
      </c>
    </row>
    <row r="39" spans="2:3">
      <c r="B39" s="2" t="s">
        <v>36</v>
      </c>
      <c r="C39" s="7">
        <v>8.6699999999999999E-2</v>
      </c>
    </row>
    <row r="40" spans="2:3">
      <c r="B40" s="2" t="s">
        <v>37</v>
      </c>
      <c r="C40" s="7">
        <v>7.0800000000000002E-2</v>
      </c>
    </row>
    <row r="41" spans="2:3">
      <c r="B41" s="2" t="s">
        <v>38</v>
      </c>
      <c r="C41" s="7">
        <v>9.1899999999999996E-2</v>
      </c>
    </row>
    <row r="42" spans="2:3">
      <c r="C42" s="9"/>
    </row>
  </sheetData>
  <conditionalFormatting sqref="B6:B41">
    <cfRule type="cellIs" dxfId="3" priority="8" operator="lessThan">
      <formula>0</formula>
    </cfRule>
  </conditionalFormatting>
  <conditionalFormatting sqref="B5">
    <cfRule type="cellIs" dxfId="2" priority="5" operator="lessThan">
      <formula>0</formula>
    </cfRule>
  </conditionalFormatting>
  <conditionalFormatting sqref="C6:C41">
    <cfRule type="cellIs" dxfId="1" priority="2" operator="lessThan">
      <formula>0</formula>
    </cfRule>
  </conditionalFormatting>
  <conditionalFormatting sqref="C5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72777-E4E4-4547-87A2-F119E76DE4DA}">
  <dimension ref="B2:G44"/>
  <sheetViews>
    <sheetView tabSelected="1" zoomScale="125" workbookViewId="0">
      <selection activeCell="G10" sqref="G10"/>
    </sheetView>
  </sheetViews>
  <sheetFormatPr baseColWidth="10" defaultRowHeight="16"/>
  <cols>
    <col min="1" max="16384" width="10.83203125" style="1"/>
  </cols>
  <sheetData>
    <row r="2" spans="2:7">
      <c r="B2" s="18" t="s">
        <v>1</v>
      </c>
      <c r="C2" s="19" t="s">
        <v>54</v>
      </c>
      <c r="D2" s="19" t="s">
        <v>55</v>
      </c>
      <c r="E2" s="19" t="s">
        <v>60</v>
      </c>
      <c r="F2" s="19" t="s">
        <v>61</v>
      </c>
      <c r="G2" s="19" t="s">
        <v>62</v>
      </c>
    </row>
    <row r="3" spans="2:7">
      <c r="B3" s="15">
        <v>44555</v>
      </c>
      <c r="C3" s="11"/>
      <c r="D3" s="12"/>
      <c r="E3" s="12"/>
      <c r="F3" s="12"/>
      <c r="G3" s="12">
        <v>4.8000000000000001E-2</v>
      </c>
    </row>
    <row r="4" spans="2:7">
      <c r="B4" s="15">
        <v>44191</v>
      </c>
      <c r="C4" s="11">
        <v>-3.1558185404340078E-3</v>
      </c>
      <c r="D4" s="12">
        <v>0.17870680688769777</v>
      </c>
      <c r="E4" s="12">
        <v>0.1278</v>
      </c>
      <c r="F4" s="12">
        <v>-0.46310000000000001</v>
      </c>
      <c r="G4" s="12">
        <v>1.2E-2</v>
      </c>
    </row>
    <row r="5" spans="2:7">
      <c r="B5" s="15">
        <v>43826</v>
      </c>
      <c r="C5" s="11">
        <v>-7.1226461118156781E-3</v>
      </c>
      <c r="D5" s="12">
        <v>0.28740333292890091</v>
      </c>
      <c r="E5" s="12">
        <v>-6.0599999999999994E-2</v>
      </c>
      <c r="F5" s="12">
        <v>-0.1048</v>
      </c>
      <c r="G5" s="12">
        <v>1.7999999999999999E-2</v>
      </c>
    </row>
    <row r="6" spans="2:7">
      <c r="B6" s="15">
        <v>43462</v>
      </c>
      <c r="C6" s="11">
        <v>1.1422944362383003E-2</v>
      </c>
      <c r="D6" s="12">
        <v>-5.7274098208536947E-2</v>
      </c>
      <c r="E6" s="12">
        <v>-3.3399999999999999E-2</v>
      </c>
      <c r="F6" s="12">
        <v>-9.8000000000000004E-2</v>
      </c>
      <c r="G6" s="12">
        <v>2.4E-2</v>
      </c>
    </row>
    <row r="7" spans="2:7">
      <c r="B7" s="15">
        <v>43098</v>
      </c>
      <c r="C7" s="11">
        <v>4.9965709806996106E-3</v>
      </c>
      <c r="D7" s="12">
        <v>0.24378693054889017</v>
      </c>
      <c r="E7" s="12">
        <v>-4.9500000000000002E-2</v>
      </c>
      <c r="F7" s="12">
        <v>-0.1348</v>
      </c>
      <c r="G7" s="12">
        <v>2.1000000000000001E-2</v>
      </c>
    </row>
    <row r="8" spans="2:7">
      <c r="B8" s="15">
        <v>42734</v>
      </c>
      <c r="C8" s="13">
        <v>-6.8292682926818227E-4</v>
      </c>
      <c r="D8" s="11">
        <v>0.21057812958127492</v>
      </c>
      <c r="E8" s="12">
        <v>6.6299999999999998E-2</v>
      </c>
      <c r="F8" s="12">
        <v>0.22640000000000002</v>
      </c>
      <c r="G8" s="12">
        <v>1.2999999999999999E-2</v>
      </c>
    </row>
    <row r="9" spans="2:7">
      <c r="B9" s="15">
        <v>42369</v>
      </c>
      <c r="C9" s="13">
        <v>7.1026931044686492E-3</v>
      </c>
      <c r="D9" s="14">
        <v>-4.1171434537674877E-2</v>
      </c>
      <c r="E9" s="12">
        <v>-3.9300000000000002E-2</v>
      </c>
      <c r="F9" s="12">
        <v>-9.5299999999999996E-2</v>
      </c>
      <c r="G9" s="12">
        <v>1E-3</v>
      </c>
    </row>
    <row r="10" spans="2:7">
      <c r="B10" s="15">
        <v>42004</v>
      </c>
      <c r="C10" s="13">
        <v>1.9717745971374212E-2</v>
      </c>
      <c r="D10" s="14">
        <v>0.11459219059439768</v>
      </c>
      <c r="E10" s="12">
        <v>-7.8E-2</v>
      </c>
      <c r="F10" s="12">
        <v>-1.46E-2</v>
      </c>
      <c r="G10" s="12">
        <v>1.6E-2</v>
      </c>
    </row>
    <row r="11" spans="2:7">
      <c r="B11" s="15">
        <v>41639</v>
      </c>
      <c r="C11" s="13">
        <v>1.260090569009642E-2</v>
      </c>
      <c r="D11" s="11">
        <v>0.24227195569871718</v>
      </c>
      <c r="E11" s="12">
        <v>7.6299999999999993E-2</v>
      </c>
      <c r="F11" s="12">
        <v>2.6499999999999999E-2</v>
      </c>
      <c r="G11" s="12">
        <v>1.4999999999999999E-2</v>
      </c>
    </row>
    <row r="12" spans="2:7">
      <c r="B12" s="15">
        <v>41274</v>
      </c>
      <c r="C12" s="13">
        <v>3.1499163303474464E-3</v>
      </c>
      <c r="D12" s="14">
        <v>0.16015322534490528</v>
      </c>
      <c r="E12" s="12">
        <v>-1.32E-2</v>
      </c>
      <c r="F12" s="12">
        <v>9.849999999999999E-2</v>
      </c>
      <c r="G12" s="12">
        <v>2.1000000000000001E-2</v>
      </c>
    </row>
    <row r="13" spans="2:7">
      <c r="B13" s="15">
        <v>40907</v>
      </c>
      <c r="C13" s="13">
        <v>-9.3267269017779375E-3</v>
      </c>
      <c r="D13" s="14">
        <v>4.4927570487563323E-2</v>
      </c>
      <c r="E13" s="12">
        <v>-5.79E-2</v>
      </c>
      <c r="F13" s="12">
        <v>-8.539999999999999E-2</v>
      </c>
      <c r="G13" s="12">
        <v>3.2000000000000001E-2</v>
      </c>
    </row>
    <row r="14" spans="2:7">
      <c r="B14" s="15">
        <v>40543</v>
      </c>
      <c r="C14" s="13">
        <v>1.7317721145331255E-2</v>
      </c>
      <c r="D14" s="11">
        <v>0.14512015243732407</v>
      </c>
      <c r="E14" s="12">
        <v>0.1429</v>
      </c>
      <c r="F14" s="12">
        <v>-5.0999999999999997E-2</v>
      </c>
      <c r="G14" s="12">
        <v>1.6E-2</v>
      </c>
    </row>
    <row r="15" spans="2:7">
      <c r="B15" s="15">
        <v>40178</v>
      </c>
      <c r="C15" s="13">
        <v>1.0718113612004476E-2</v>
      </c>
      <c r="D15" s="14">
        <v>0.31356885697419196</v>
      </c>
      <c r="E15" s="12">
        <v>9.35E-2</v>
      </c>
      <c r="F15" s="12">
        <v>-9.4200000000000006E-2</v>
      </c>
      <c r="G15" s="12">
        <v>-4.0000000000000001E-3</v>
      </c>
    </row>
    <row r="16" spans="2:7">
      <c r="B16" s="15">
        <v>39813</v>
      </c>
      <c r="C16" s="13">
        <v>2.4892532240327725E-2</v>
      </c>
      <c r="D16" s="16">
        <v>-0.37681873114369008</v>
      </c>
      <c r="E16" s="12">
        <v>2.4500000000000001E-2</v>
      </c>
      <c r="F16" s="12">
        <v>8.3000000000000001E-3</v>
      </c>
      <c r="G16" s="12">
        <v>3.7999999999999999E-2</v>
      </c>
    </row>
    <row r="17" spans="2:7">
      <c r="B17" s="15">
        <v>39447</v>
      </c>
      <c r="C17" s="13">
        <v>-5.1783659378594749E-3</v>
      </c>
      <c r="D17" s="11">
        <v>-8.5962015264704934E-3</v>
      </c>
      <c r="E17" s="12">
        <v>-7.400000000000001E-2</v>
      </c>
      <c r="F17" s="12">
        <v>-0.17280000000000001</v>
      </c>
      <c r="G17" s="12">
        <v>2.9000000000000001E-2</v>
      </c>
    </row>
    <row r="18" spans="2:7">
      <c r="B18" s="15">
        <v>39080</v>
      </c>
      <c r="C18" s="13">
        <v>2.6253918495297901E-2</v>
      </c>
      <c r="D18" s="14">
        <v>0.10707775902849526</v>
      </c>
      <c r="E18" s="12">
        <v>8.0000000000000004E-4</v>
      </c>
      <c r="F18" s="12">
        <v>0.11749999999999999</v>
      </c>
      <c r="G18" s="12">
        <v>3.2000000000000001E-2</v>
      </c>
    </row>
    <row r="19" spans="2:7">
      <c r="B19" s="15">
        <v>38716</v>
      </c>
      <c r="C19" s="13">
        <v>4.1350129820174608E-3</v>
      </c>
      <c r="D19" s="14">
        <v>9.7290950908587831E-2</v>
      </c>
      <c r="E19" s="12">
        <v>-2.3599999999999999E-2</v>
      </c>
      <c r="F19" s="12">
        <v>9.4299999999999995E-2</v>
      </c>
      <c r="G19" s="12">
        <v>3.4000000000000002E-2</v>
      </c>
    </row>
    <row r="20" spans="2:7">
      <c r="B20" s="15">
        <v>38352</v>
      </c>
      <c r="C20" s="13">
        <v>1.2139458094590605E-2</v>
      </c>
      <c r="D20" s="14">
        <v>4.792909875208775E-2</v>
      </c>
      <c r="E20" s="12">
        <v>4.4299999999999999E-2</v>
      </c>
      <c r="F20" s="12">
        <v>7.6700000000000004E-2</v>
      </c>
      <c r="G20" s="12">
        <v>2.7E-2</v>
      </c>
    </row>
    <row r="21" spans="2:7">
      <c r="B21" s="15">
        <v>37986</v>
      </c>
      <c r="C21" s="13">
        <v>2.1779652702835328E-2</v>
      </c>
      <c r="D21" s="11">
        <v>0.26277291471991876</v>
      </c>
      <c r="E21" s="12">
        <v>0.2651</v>
      </c>
      <c r="F21" s="12">
        <v>5.1100000000000007E-2</v>
      </c>
      <c r="G21" s="12">
        <v>2.3E-2</v>
      </c>
    </row>
    <row r="22" spans="2:7">
      <c r="B22" s="15">
        <v>37621</v>
      </c>
      <c r="C22" s="13">
        <v>1.4132553606237774E-2</v>
      </c>
      <c r="D22" s="16">
        <v>-0.21438905372463704</v>
      </c>
      <c r="E22" s="12">
        <v>4.4500000000000005E-2</v>
      </c>
      <c r="F22" s="12">
        <v>8.09E-2</v>
      </c>
      <c r="G22" s="12">
        <v>1.6E-2</v>
      </c>
    </row>
    <row r="23" spans="2:7">
      <c r="B23" s="15">
        <v>37256</v>
      </c>
      <c r="C23" s="13">
        <v>3.856041131105381E-2</v>
      </c>
      <c r="D23" s="16">
        <v>-0.17317787497988424</v>
      </c>
      <c r="E23" s="12">
        <v>0.18239999999999998</v>
      </c>
      <c r="F23" s="12">
        <v>0.185</v>
      </c>
      <c r="G23" s="12">
        <v>2.8000000000000001E-2</v>
      </c>
    </row>
    <row r="24" spans="2:7">
      <c r="B24" s="15">
        <v>36889</v>
      </c>
      <c r="C24" s="13">
        <v>1.3785790031813239E-2</v>
      </c>
      <c r="D24" s="16">
        <v>-6.5459352556802797E-2</v>
      </c>
      <c r="E24" s="12">
        <v>-4.58E-2</v>
      </c>
      <c r="F24" s="12">
        <v>0.45020000000000004</v>
      </c>
      <c r="G24" s="12">
        <v>3.4000000000000002E-2</v>
      </c>
    </row>
    <row r="25" spans="2:7">
      <c r="B25" s="15">
        <v>36525</v>
      </c>
      <c r="C25" s="13">
        <v>3.8154564921160095E-2</v>
      </c>
      <c r="D25" s="14">
        <v>0.11679743024208056</v>
      </c>
      <c r="E25" s="12">
        <v>0.15579999999999999</v>
      </c>
      <c r="F25" s="12">
        <v>-0.3196</v>
      </c>
      <c r="G25" s="12">
        <v>2.1999999999999999E-2</v>
      </c>
    </row>
    <row r="26" spans="2:7">
      <c r="B26" s="15">
        <v>36160</v>
      </c>
      <c r="C26" s="13">
        <v>2.9999016425690916E-2</v>
      </c>
      <c r="D26" s="14">
        <v>0.2838953449760695</v>
      </c>
      <c r="E26" s="12">
        <v>-0.25280000000000002</v>
      </c>
      <c r="F26" s="12">
        <v>-0.1032</v>
      </c>
      <c r="G26" s="12">
        <v>1.6E-2</v>
      </c>
    </row>
    <row r="27" spans="2:7">
      <c r="B27" s="15">
        <v>35795</v>
      </c>
      <c r="C27" s="13">
        <v>3.9086344393029382E-2</v>
      </c>
      <c r="D27" s="11">
        <v>0.2384450382385907</v>
      </c>
      <c r="E27" s="12">
        <v>-7.6399999999999996E-2</v>
      </c>
      <c r="F27" s="12">
        <v>0.19109999999999999</v>
      </c>
      <c r="G27" s="12">
        <v>2.3E-2</v>
      </c>
    </row>
    <row r="28" spans="2:7">
      <c r="B28" s="15">
        <v>35430</v>
      </c>
      <c r="C28" s="13">
        <v>3.4355590062111974E-2</v>
      </c>
      <c r="D28" s="11">
        <v>0.23764792544845093</v>
      </c>
      <c r="E28" s="12">
        <v>-4.4199999999999996E-2</v>
      </c>
      <c r="F28" s="12">
        <v>8.6999999999999994E-2</v>
      </c>
      <c r="G28" s="12">
        <v>2.9000000000000001E-2</v>
      </c>
    </row>
    <row r="29" spans="2:7">
      <c r="B29" s="15">
        <v>35062</v>
      </c>
      <c r="C29" s="13">
        <v>2.8424024140951909E-2</v>
      </c>
      <c r="D29" s="11">
        <v>0.32178125904013349</v>
      </c>
      <c r="E29" s="12">
        <v>-9.7500000000000003E-2</v>
      </c>
      <c r="F29" s="12">
        <v>6.0499999999999998E-2</v>
      </c>
      <c r="G29" s="12">
        <v>2.8000000000000001E-2</v>
      </c>
    </row>
    <row r="30" spans="2:7">
      <c r="B30" s="15">
        <v>34698</v>
      </c>
      <c r="C30" s="13">
        <v>4.8443579766537015E-2</v>
      </c>
      <c r="D30" s="16">
        <v>-3.6380481180943294E-2</v>
      </c>
      <c r="E30" s="12">
        <v>-3.0000000000000001E-3</v>
      </c>
      <c r="F30" s="12">
        <v>-7.7000000000000002E-3</v>
      </c>
      <c r="G30" s="12">
        <v>2.5999999999999999E-2</v>
      </c>
    </row>
    <row r="31" spans="2:7">
      <c r="B31" s="15">
        <v>34334</v>
      </c>
      <c r="C31" s="13">
        <v>3.150604760046849E-2</v>
      </c>
      <c r="D31" s="14">
        <v>8.4595163253562713E-2</v>
      </c>
      <c r="E31" s="12">
        <v>6.3799999999999996E-2</v>
      </c>
      <c r="F31" s="12">
        <v>0.1686</v>
      </c>
      <c r="G31" s="12">
        <v>0.03</v>
      </c>
    </row>
    <row r="32" spans="2:7">
      <c r="B32" s="15">
        <v>33969</v>
      </c>
      <c r="C32" s="13">
        <v>3.2345535541352E-2</v>
      </c>
      <c r="D32" s="14">
        <v>4.3386371784162353E-2</v>
      </c>
      <c r="E32" s="12">
        <v>7.6700000000000004E-2</v>
      </c>
      <c r="F32" s="12">
        <v>0.24489999999999998</v>
      </c>
      <c r="G32" s="12">
        <v>0.03</v>
      </c>
    </row>
    <row r="33" spans="2:7">
      <c r="B33" s="15">
        <v>33603</v>
      </c>
      <c r="C33" s="13">
        <v>4.3177387914230092E-2</v>
      </c>
      <c r="D33" s="14">
        <v>0.2752806660966457</v>
      </c>
      <c r="E33" s="12">
        <v>0.16159999999999999</v>
      </c>
      <c r="F33" s="12">
        <v>-0.1472</v>
      </c>
      <c r="G33" s="12">
        <v>4.2000000000000003E-2</v>
      </c>
    </row>
    <row r="34" spans="2:7">
      <c r="B34" s="15">
        <v>33238</v>
      </c>
      <c r="C34" s="13">
        <v>2.309512541410319E-2</v>
      </c>
      <c r="D34" s="16">
        <v>-3.0454504182818174E-2</v>
      </c>
      <c r="E34" s="12">
        <v>-0.14019999999999999</v>
      </c>
      <c r="F34" s="12">
        <v>-0.10039999999999999</v>
      </c>
      <c r="G34" s="12">
        <v>5.3999999999999999E-2</v>
      </c>
    </row>
    <row r="35" spans="2:7">
      <c r="B35" s="15">
        <v>32871</v>
      </c>
      <c r="C35" s="13">
        <v>2.8612167300380298E-2</v>
      </c>
      <c r="D35" s="11">
        <v>0.20035436738777679</v>
      </c>
      <c r="E35" s="12">
        <v>-0.129</v>
      </c>
      <c r="F35" s="12">
        <v>-4.1200000000000001E-2</v>
      </c>
      <c r="G35" s="12">
        <v>4.8000000000000001E-2</v>
      </c>
    </row>
    <row r="36" spans="2:7">
      <c r="B36" s="15">
        <v>32507</v>
      </c>
      <c r="C36" s="13">
        <v>4.2227954523741396E-2</v>
      </c>
      <c r="D36" s="14">
        <v>0.13731144667386322</v>
      </c>
      <c r="E36" s="12">
        <v>5.7599999999999998E-2</v>
      </c>
      <c r="F36" s="12">
        <v>0.14369999999999999</v>
      </c>
      <c r="G36" s="12">
        <v>4.1000000000000002E-2</v>
      </c>
    </row>
    <row r="37" spans="2:7">
      <c r="B37" s="15">
        <v>32142</v>
      </c>
      <c r="C37" s="13">
        <v>4.440172993753011E-2</v>
      </c>
      <c r="D37" s="16">
        <v>-6.2669026723919566E-2</v>
      </c>
      <c r="E37" s="12">
        <v>-0.1085</v>
      </c>
      <c r="F37" s="12">
        <v>-1.6200000000000003E-2</v>
      </c>
      <c r="G37" s="12">
        <v>3.6999999999999998E-2</v>
      </c>
    </row>
    <row r="38" spans="2:7">
      <c r="B38" s="15">
        <v>31777</v>
      </c>
      <c r="C38" s="13">
        <v>5.5391287206780992E-2</v>
      </c>
      <c r="D38" s="14">
        <v>0.25732653219763779</v>
      </c>
      <c r="E38" s="12">
        <v>-9.5600000000000004E-2</v>
      </c>
      <c r="F38" s="12">
        <v>9.3299999999999994E-2</v>
      </c>
      <c r="G38" s="12">
        <v>1.9E-2</v>
      </c>
    </row>
    <row r="39" spans="2:7">
      <c r="B39" s="15">
        <v>31412</v>
      </c>
      <c r="C39" s="13">
        <v>5.101549716045839E-2</v>
      </c>
      <c r="D39" s="14">
        <v>0.20849743990247871</v>
      </c>
      <c r="E39" s="12">
        <v>5.7999999999999996E-3</v>
      </c>
      <c r="F39" s="12">
        <v>1.37E-2</v>
      </c>
      <c r="G39" s="12">
        <v>3.5000000000000003E-2</v>
      </c>
    </row>
    <row r="40" spans="2:7">
      <c r="B40" s="15">
        <v>31047</v>
      </c>
      <c r="C40" s="13">
        <v>7.5823432821404468E-2</v>
      </c>
      <c r="D40" s="16">
        <v>2.4818556401339925E-3</v>
      </c>
      <c r="E40" s="12">
        <v>-8.199999999999999E-2</v>
      </c>
      <c r="F40" s="12">
        <v>0.19070000000000001</v>
      </c>
      <c r="G40" s="12">
        <v>4.2999999999999997E-2</v>
      </c>
    </row>
    <row r="41" spans="2:7">
      <c r="B41" s="15">
        <v>30680</v>
      </c>
      <c r="C41" s="13">
        <v>7.1791918610231376E-2</v>
      </c>
      <c r="D41" s="14">
        <v>0.1307028838845711</v>
      </c>
      <c r="E41" s="12">
        <v>0.14029999999999998</v>
      </c>
      <c r="F41" s="12">
        <v>0.20489999999999997</v>
      </c>
      <c r="G41" s="12">
        <v>3.2000000000000001E-2</v>
      </c>
    </row>
    <row r="42" spans="2:7">
      <c r="B42" s="15">
        <v>30316</v>
      </c>
      <c r="C42" s="13">
        <v>6.5085334104715287E-2</v>
      </c>
      <c r="D42" s="14">
        <v>0.22417297791574525</v>
      </c>
      <c r="E42" s="12">
        <v>8.6999999999999994E-2</v>
      </c>
      <c r="F42" s="12">
        <v>0.1336</v>
      </c>
      <c r="G42" s="12">
        <v>6.0999999999999999E-2</v>
      </c>
    </row>
    <row r="43" spans="2:7">
      <c r="B43" s="15">
        <v>29951</v>
      </c>
      <c r="C43" s="13">
        <v>5.7200848786788328E-2</v>
      </c>
      <c r="D43" s="16">
        <v>-0.12389257811009663</v>
      </c>
      <c r="E43" s="12">
        <v>7.1300000000000002E-2</v>
      </c>
      <c r="F43" s="12">
        <v>0.25120000000000003</v>
      </c>
      <c r="G43" s="12">
        <v>0.10299999999999999</v>
      </c>
    </row>
    <row r="44" spans="2:7">
      <c r="B44" s="15">
        <v>29586</v>
      </c>
      <c r="C44" s="13">
        <v>6.617186801394892E-3</v>
      </c>
      <c r="D44" s="14">
        <v>-6.617186801394892E-3</v>
      </c>
      <c r="E44" s="12">
        <v>5.7000000000000002E-2</v>
      </c>
      <c r="F44" s="12">
        <v>-0.24629999999999999</v>
      </c>
      <c r="G44" s="12">
        <v>0.13500000000000001</v>
      </c>
    </row>
  </sheetData>
  <sortState xmlns:xlrd2="http://schemas.microsoft.com/office/spreadsheetml/2017/richdata2" ref="A7:D44">
    <sortCondition descending="1" ref="A2:A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600F-6DF6-8848-B15B-FCD01F1212BC}">
  <dimension ref="B2:B5"/>
  <sheetViews>
    <sheetView workbookViewId="0">
      <selection activeCell="B10" sqref="B10"/>
    </sheetView>
  </sheetViews>
  <sheetFormatPr baseColWidth="10" defaultRowHeight="16"/>
  <cols>
    <col min="1" max="16384" width="10.83203125" style="1"/>
  </cols>
  <sheetData>
    <row r="2" spans="2:2">
      <c r="B2" s="1" t="s">
        <v>56</v>
      </c>
    </row>
    <row r="3" spans="2:2">
      <c r="B3" s="1" t="s">
        <v>57</v>
      </c>
    </row>
    <row r="4" spans="2:2">
      <c r="B4" s="1" t="s">
        <v>58</v>
      </c>
    </row>
    <row r="5" spans="2:2">
      <c r="B5" s="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S&amp;P 500</vt:lpstr>
      <vt:lpstr>10 Year US Treasury Note Yield</vt:lpstr>
      <vt:lpstr>Market Factors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Founder Wan</dc:creator>
  <cp:lastModifiedBy>Founder Wan</cp:lastModifiedBy>
  <dcterms:created xsi:type="dcterms:W3CDTF">2022-01-01T18:35:11Z</dcterms:created>
  <dcterms:modified xsi:type="dcterms:W3CDTF">2022-01-22T14:10:41Z</dcterms:modified>
</cp:coreProperties>
</file>